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Timeline" sheetId="2" state="visible" r:id="rId4"/>
    <sheet name="Option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<sst xmlns="http://schemas.openxmlformats.org/spreadsheetml/2006/main" count="368" uniqueCount="256">
  <si>
    <t xml:space="preserve">Open Duck Mini v2 — India-sourced BOM (for 10 Oct 2026 event)</t>
  </si>
  <si>
    <t xml:space="preserve">Prices in INR incl. GST where the vendor shows it. 'Verified' = checked on vendor page 25 Sep 2026; 'Est.' = typical Indian retail price, confirm at checkout. Blue = editable inputs; yellow columns = fill in as you order.</t>
  </si>
  <si>
    <t xml:space="preserve">Reference BOM (EUR): github.com/apirrone/Open_Duck_Mini → README → BOM Google Sheet. Upstream total ≈ €398 base / €432 with expression pack.</t>
  </si>
  <si>
    <t xml:space="preserve">#</t>
  </si>
  <si>
    <t xml:space="preserve">Priority</t>
  </si>
  <si>
    <t xml:space="preserve">Part</t>
  </si>
  <si>
    <t xml:space="preserve">Exact spec / variant to buy</t>
  </si>
  <si>
    <t xml:space="preserve">Qty</t>
  </si>
  <si>
    <t xml:space="preserve">Spares</t>
  </si>
  <si>
    <t xml:space="preserve">Unit ₹</t>
  </si>
  <si>
    <t xml:space="preserve">Line ₹</t>
  </si>
  <si>
    <t xml:space="preserve">Vendor</t>
  </si>
  <si>
    <t xml:space="preserve">Link</t>
  </si>
  <si>
    <t xml:space="preserve">Stock / dispatch</t>
  </si>
  <si>
    <t xml:space="preserve">Price</t>
  </si>
  <si>
    <t xml:space="preserve">Notes</t>
  </si>
  <si>
    <t xml:space="preserve">Ordered?</t>
  </si>
  <si>
    <t xml:space="preserve">ETA</t>
  </si>
  <si>
    <t xml:space="preserve">SERVOS &amp; CONTROL</t>
  </si>
  <si>
    <t xml:space="preserve">P0</t>
  </si>
  <si>
    <t xml:space="preserve">Feetech STS3215 serial bus servo</t>
  </si>
  <si>
    <t xml:space="preserve">STS3215-C001 — 7.4 V, 19.5 kg·cm, 1:345 gear. NOT the 12 V/30 kg (C018) or 1:147 (C046) variants</t>
  </si>
  <si>
    <t xml:space="preserve">Evelta</t>
  </si>
  <si>
    <t xml:space="preserve">https://evelta.com/sts3215-7-4v-19kg-dual-axis-ttl-string-servo-motor/</t>
  </si>
  <si>
    <t xml:space="preserve">80 in stock; ships 24 h from Mumbai</t>
  </si>
  <si>
    <t xml:space="preserve">Verified</t>
  </si>
  <si>
    <t xml:space="preserve">Sim-to-real motor model (BAM) is identified for the 7.4 V C001. 2 spares = cheap insurance for a live demo.</t>
  </si>
  <si>
    <t xml:space="preserve">Waveshare Bus Servo Adapter (A)</t>
  </si>
  <si>
    <t xml:space="preserve">UART/USB-C bus servo driver for ST/SC servos</t>
  </si>
  <si>
    <t xml:space="preserve">REES52</t>
  </si>
  <si>
    <t xml:space="preserve">https://rees52.com/products/waveshare-serial-bus-servo-driver-board-all-in-one-servo-driver-board-with-integrated-power-control-for-st-sc-actuators-rs8478</t>
  </si>
  <si>
    <t xml:space="preserve">23 in stock; express 2–3 working days</t>
  </si>
  <si>
    <t xml:space="preserve">Robocraze listing sold out. Upstream runs it off 2S (7.4 V).</t>
  </si>
  <si>
    <t xml:space="preserve">Raspberry Pi Zero 2 W</t>
  </si>
  <si>
    <t xml:space="preserve">Official board (solder a 40-pin header, or buy the WH variant)</t>
  </si>
  <si>
    <t xml:space="preserve">https://evelta.com/raspberry-pi-zero-2-w/</t>
  </si>
  <si>
    <t xml:space="preserve">In stock; ships 24 h</t>
  </si>
  <si>
    <t xml:space="preserve">Robocraze out of stock; Robu listed ₹2,079 as backup.</t>
  </si>
  <si>
    <t xml:space="preserve">40-pin male GPIO header</t>
  </si>
  <si>
    <t xml:space="preserve">2×20, 2.54 mm</t>
  </si>
  <si>
    <t xml:space="preserve">Robu / Evelta</t>
  </si>
  <si>
    <t xml:space="preserve">Stock item</t>
  </si>
  <si>
    <t xml:space="preserve">Est.</t>
  </si>
  <si>
    <t xml:space="preserve">Skip if you buy the Zero 2 WH.</t>
  </si>
  <si>
    <t xml:space="preserve">microSD card</t>
  </si>
  <si>
    <t xml:space="preserve">32 GB, A1/U1 (SanDisk Ultra or similar)</t>
  </si>
  <si>
    <t xml:space="preserve">Amazon.in</t>
  </si>
  <si>
    <t xml:space="preserve">1–2 days</t>
  </si>
  <si>
    <t xml:space="preserve">Flash the prebuilt Duck image (runtime repo → Releases).</t>
  </si>
  <si>
    <t xml:space="preserve">IMU — Adafruit BNO055 breakout</t>
  </si>
  <si>
    <t xml:space="preserve">Adafruit #2472 (the runtime uses the adafruit_bno055 library over I2C)</t>
  </si>
  <si>
    <t xml:space="preserve">Fab.to.Lab</t>
  </si>
  <si>
    <t xml:space="preserve">https://www.fabtolab.com/adafruit-9-dof-absolute-orientation-imu-fusion-breakout-bno055</t>
  </si>
  <si>
    <t xml:space="preserve">In stock</t>
  </si>
  <si>
    <t xml:space="preserve">Robu has it at ₹4,619. Clone GY-BNO055 boards are cheaper but riskier on Pi I2C. Keep the genuine one for the deadline.</t>
  </si>
  <si>
    <t xml:space="preserve">Foot contact switches</t>
  </si>
  <si>
    <t xml:space="preserve">Omron SS-5GL / SS-10 body micro switch</t>
  </si>
  <si>
    <t xml:space="preserve">Robu</t>
  </si>
  <si>
    <t xml:space="preserve">https://robu.in/product/3d-printer-limit-switch-endstop-omron-ss-5gl/</t>
  </si>
  <si>
    <t xml:space="preserve">Press-fit into feet; wired to Pi GPIO 22/27.</t>
  </si>
  <si>
    <t xml:space="preserve">P1</t>
  </si>
  <si>
    <t xml:space="preserve">9 g micro servos (antennas)</t>
  </si>
  <si>
    <t xml:space="preserve">SG90 or MG90S</t>
  </si>
  <si>
    <t xml:space="preserve">Robu / Robocraze</t>
  </si>
  <si>
    <t xml:space="preserve">Expression only; PWM from Pi GPIO 12/13.</t>
  </si>
  <si>
    <t xml:space="preserve">POWER</t>
  </si>
  <si>
    <t xml:space="preserve">18650 Li-ion cells</t>
  </si>
  <si>
    <t xml:space="preserve">Samsung INR18650-30Q 3000 mAh, high drain (upstream uses Molicel P30B)</t>
  </si>
  <si>
    <t xml:space="preserve">https://robu.in/product/samsung-18650-30q-li-ion-battery/</t>
  </si>
  <si>
    <t xml:space="preserve">Buy genuine high-drain cells only. The 2 spares make a second pack for event day.</t>
  </si>
  <si>
    <t xml:space="preserve">2S 18650 cell holder</t>
  </si>
  <si>
    <t xml:space="preserve">2-cell series holder with leads</t>
  </si>
  <si>
    <t xml:space="preserve">2S BMS 20 A with balance</t>
  </si>
  <si>
    <t xml:space="preserve">7.4–8.4 V protection board</t>
  </si>
  <si>
    <t xml:space="preserve">https://robu.in/product/2s-20a-18650-lithium-battery-protection-board/</t>
  </si>
  <si>
    <t xml:space="preserve">Upgraded from the 10 A board (₹72) for headroom at servo current peaks.</t>
  </si>
  <si>
    <t xml:space="preserve">UBEC 5 V / 3 A</t>
  </si>
  <si>
    <t xml:space="preserve">2–6S input, 5 V out, powers the Pi</t>
  </si>
  <si>
    <t xml:space="preserve">https://robu.in/product/ubec-5v-3a/</t>
  </si>
  <si>
    <t xml:space="preserve">USB-C 2S charger module</t>
  </si>
  <si>
    <t xml:space="preserve">IP2326-based 5 V→8.4 V, balance</t>
  </si>
  <si>
    <t xml:space="preserve">Robu / Amazon.in</t>
  </si>
  <si>
    <t xml:space="preserve">Or charge cells in a standalone 18650 charger.</t>
  </si>
  <si>
    <t xml:space="preserve">Power switch</t>
  </si>
  <si>
    <t xml:space="preserve">Mini rocker / slide, ≥10 A DC</t>
  </si>
  <si>
    <t xml:space="preserve">XT30 connector pairs</t>
  </si>
  <si>
    <t xml:space="preserve">Male + female</t>
  </si>
  <si>
    <t xml:space="preserve">DC 2.1 mm barrel jack pigtails</t>
  </si>
  <si>
    <t xml:space="preserve">Male, 5.5×2.1 mm, to feed the servo adapter</t>
  </si>
  <si>
    <t xml:space="preserve">Standalone 18650 charger</t>
  </si>
  <si>
    <t xml:space="preserve">2-bay smart charger (e.g., LiitoKala Lii-202)</t>
  </si>
  <si>
    <t xml:space="preserve">Charges the spare pack while the robot is running.</t>
  </si>
  <si>
    <t xml:space="preserve">MECHANICAL &amp; CONSUMABLES</t>
  </si>
  <si>
    <t xml:space="preserve">Ball bearings</t>
  </si>
  <si>
    <t xml:space="preserve">608ZZ (8×22×7 mm)</t>
  </si>
  <si>
    <t xml:space="preserve">Robu / local</t>
  </si>
  <si>
    <t xml:space="preserve">M3 brass heat-set inserts</t>
  </si>
  <si>
    <t xml:space="preserve">M3 × ~5 mm OD knurled, 100 pcs</t>
  </si>
  <si>
    <t xml:space="preserve">Upstream doesn't give a count; 100 is plenty.</t>
  </si>
  <si>
    <t xml:space="preserve">M3 screw kit</t>
  </si>
  <si>
    <t xml:space="preserve">Hex socket, M3×6/8/10/12/16, stainless, ~300 pcs</t>
  </si>
  <si>
    <t xml:space="preserve">The plastic servo-mount screws come with the servos.</t>
  </si>
  <si>
    <t xml:space="preserve">PLA filament</t>
  </si>
  <si>
    <t xml:space="preserve">1.75 mm, 1 kg (eSUN / Numakers)</t>
  </si>
  <si>
    <t xml:space="preserve">Amazon.in / Robu</t>
  </si>
  <si>
    <t xml:space="preserve">All parts 15% infill. About 1 kg in use; 2 kg covers reprints.</t>
  </si>
  <si>
    <t xml:space="preserve">TPU 95A filament</t>
  </si>
  <si>
    <t xml:space="preserve">1.75 mm, 500 g–1 kg</t>
  </si>
  <si>
    <t xml:space="preserve">Zee3D / 3Idea / Amazon.in</t>
  </si>
  <si>
    <t xml:space="preserve">https://www.zee3d.in/product-page/artillery-premium-black-95a-flexible-tpu-filament-1-kg-1-75-mm</t>
  </si>
  <si>
    <t xml:space="preserve">Only for foot_bottom_tpu ×2 at 40% infill.</t>
  </si>
  <si>
    <t xml:space="preserve">Loctite 243 (blue)</t>
  </si>
  <si>
    <t xml:space="preserve">Medium threadlocker, 10 ml</t>
  </si>
  <si>
    <t xml:space="preserve">Use on every metal-to-metal screw. Walking vibration loosens them.</t>
  </si>
  <si>
    <t xml:space="preserve">Cables</t>
  </si>
  <si>
    <t xml:space="preserve">Micro-USB→USB-C 15 cm (Pi→servo board) + micro-USB 50 cm</t>
  </si>
  <si>
    <t xml:space="preserve">Must be data cables (OTG).</t>
  </si>
  <si>
    <t xml:space="preserve">Silicone wire + heat shrink</t>
  </si>
  <si>
    <t xml:space="preserve">18 AWG and 24 AWG red/black, heat-shrink assortment</t>
  </si>
  <si>
    <t xml:space="preserve">Braided cable sleeve</t>
  </si>
  <si>
    <t xml:space="preserve">6–8 mm</t>
  </si>
  <si>
    <t xml:space="preserve">Spare servo cables</t>
  </si>
  <si>
    <t xml:space="preserve">3-pin 5264 bus cables, 15–20 cm</t>
  </si>
  <si>
    <t xml:space="preserve">Evelta / Robu</t>
  </si>
  <si>
    <t xml:space="preserve">The cables supplied with the servos may be short for some runs.</t>
  </si>
  <si>
    <t xml:space="preserve">EXPRESSION PACK (optional, adds demo appeal)</t>
  </si>
  <si>
    <t xml:space="preserve">P2</t>
  </si>
  <si>
    <t xml:space="preserve">Camera for Pi Zero</t>
  </si>
  <si>
    <t xml:space="preserve">OV5647 mini + Zero CSI ribbon</t>
  </si>
  <si>
    <t xml:space="preserve">I2S amplifier</t>
  </si>
  <si>
    <t xml:space="preserve">MAX98357A breakout</t>
  </si>
  <si>
    <t xml:space="preserve">Speaker</t>
  </si>
  <si>
    <t xml:space="preserve">3 W 4 Ω, ~28–40 mm</t>
  </si>
  <si>
    <t xml:space="preserve">USB mini microphone</t>
  </si>
  <si>
    <t xml:space="preserve">Plug-in USB mic</t>
  </si>
  <si>
    <t xml:space="preserve">LEDs + diffusers + reflector</t>
  </si>
  <si>
    <t xml:space="preserve">3× 5 mm LEDs (eyes + projector)</t>
  </si>
  <si>
    <t xml:space="preserve">CONTROL INPUT</t>
  </si>
  <si>
    <t xml:space="preserve">Gamepad</t>
  </si>
  <si>
    <t xml:space="preserve">Xbox Wireless Controller (Bluetooth). The runtime is written for it</t>
  </si>
  <si>
    <t xml:space="preserve">https://www.amazon.in/xbox-controller/s?k=xbox+controller</t>
  </si>
  <si>
    <t xml:space="preserve">Skip if the team already has one.</t>
  </si>
  <si>
    <t xml:space="preserve">Core build (P0)</t>
  </si>
  <si>
    <t xml:space="preserve">Recommended extras (P1)</t>
  </si>
  <si>
    <t xml:space="preserve">Expression pack (P2)</t>
  </si>
  <si>
    <t xml:space="preserve">Grand total (all)</t>
  </si>
  <si>
    <t xml:space="preserve">Spares included in the totals</t>
  </si>
  <si>
    <t xml:space="preserve">Shipping allowance (4–5 vendors)</t>
  </si>
  <si>
    <t xml:space="preserve">All-in estimate</t>
  </si>
  <si>
    <t xml:space="preserve">Legend: P0 = must have to walk · P1 = strongly recommended for a live demo · P2 = optional 'expression' features. Edit the blue Qty/Spares/Unit cells and the totals update. Mark Ordered? Y/N and ETA as you go.</t>
  </si>
  <si>
    <t xml:space="preserve">Assumes in-house FDM printer(s), soldering station with a heat-set insert tip, hex drivers and a laptop, so none of these are costed. Outsourced printing ≈ ₹6–10k extra plus turnaround risk.</t>
  </si>
  <si>
    <t xml:space="preserve">Build plan: order 25 Sep, demo 10 Oct (15 days)</t>
  </si>
  <si>
    <t xml:space="preserve">Date</t>
  </si>
  <si>
    <t xml:space="preserve">Day</t>
  </si>
  <si>
    <t xml:space="preserve">Workstream</t>
  </si>
  <si>
    <t xml:space="preserve">Task</t>
  </si>
  <si>
    <t xml:space="preserve">Gate / done when</t>
  </si>
  <si>
    <t xml:space="preserve">Owner</t>
  </si>
  <si>
    <t xml:space="preserve">Status</t>
  </si>
  <si>
    <t xml:space="preserve">25 Sep</t>
  </si>
  <si>
    <t xml:space="preserve">Fri</t>
  </si>
  <si>
    <t xml:space="preserve">Procurement</t>
  </si>
  <si>
    <t xml:space="preserve">Order everything today: Evelta (servos, Pi), REES52 (servo board), Fab.to.Lab (IMU), Robu (power, switches, inserts), Amazon.in (filament, screws, Loctite, cables)</t>
  </si>
  <si>
    <t xml:space="preserve">All orders confirmed</t>
  </si>
  <si>
    <t xml:space="preserve">25–30 Sep</t>
  </si>
  <si>
    <t xml:space="preserve">Fri–Wed</t>
  </si>
  <si>
    <t xml:space="preserve">Printing</t>
  </si>
  <si>
    <t xml:space="preserve">Start printing /print STLs tonight: legs + trunk first, then head/body. PLA 15% infill; TPU feet 40%</t>
  </si>
  <si>
    <t xml:space="preserve">All parts printed. Allow ~50–70 printer-hours; split across 2 printers</t>
  </si>
  <si>
    <t xml:space="preserve">26–28 Sep</t>
  </si>
  <si>
    <t xml:space="preserve">Sat–Mon</t>
  </si>
  <si>
    <t xml:space="preserve">Software</t>
  </si>
  <si>
    <t xml:space="preserve">Flash the prebuilt Duck image (runtime repo v2, Releases). Set up Wi-Fi/SSH. Pull BEST_WALK_ONNX_2.onnx. Optional: run Open_Duck_Playground in MuJoCo on a PC</t>
  </si>
  <si>
    <t xml:space="preserve">Pi boots headless on SSH</t>
  </si>
  <si>
    <t xml:space="preserve">29 Sep–1 Oct</t>
  </si>
  <si>
    <t xml:space="preserve">Tue–Thu</t>
  </si>
  <si>
    <t xml:space="preserve">Receiving</t>
  </si>
  <si>
    <t xml:space="preserve">Deliveries land. Chase anything not shipped by 29 Sep. 2 Oct is Gandhi Jayanti, a courier holiday</t>
  </si>
  <si>
    <t xml:space="preserve">Everything on the bench by 1 Oct</t>
  </si>
  <si>
    <t xml:space="preserve">30 Sep–1 Oct</t>
  </si>
  <si>
    <t xml:space="preserve">Wed–Thu</t>
  </si>
  <si>
    <t xml:space="preserve">Servos</t>
  </si>
  <si>
    <t xml:space="preserve">configure_motor.py per servo (IDs 10–14, 20–24, 30–33). Fit horns at zero. Label every servo</t>
  </si>
  <si>
    <t xml:space="preserve">14 servos ID'd + labelled</t>
  </si>
  <si>
    <t xml:space="preserve">1 Oct</t>
  </si>
  <si>
    <t xml:space="preserve">Thu</t>
  </si>
  <si>
    <t xml:space="preserve">Power</t>
  </si>
  <si>
    <t xml:space="preserve">Build the 2S pack: match cell voltages, BMS, switch, XT30, UBEC. Check 5 V at the Pi and ~8 V at the servo board</t>
  </si>
  <si>
    <t xml:space="preserve">Pack powers the Pi + board with no sag</t>
  </si>
  <si>
    <t xml:space="preserve">2–4 Oct</t>
  </si>
  <si>
    <t xml:space="preserve">Fri–Sun</t>
  </si>
  <si>
    <t xml:space="preserve">Assembly</t>
  </si>
  <si>
    <t xml:space="preserve">Heat-set inserts → feet → shins → thighs → hips → trunk → neck/head → body. Loctite on metal-to-metal screws. Follow docs/assembly_guide.md + Onshape CAD</t>
  </si>
  <si>
    <t xml:space="preserve">Full mechanical assembly</t>
  </si>
  <si>
    <t xml:space="preserve">4–5 Oct</t>
  </si>
  <si>
    <t xml:space="preserve">Sun–Mon</t>
  </si>
  <si>
    <t xml:space="preserve">Bring-up</t>
  </si>
  <si>
    <t xml:space="preserve">Wiring (IMU, foot switches, servo bus). raw_imu.py, check_motors.py, find_soft_offsets.py → duck_config.json</t>
  </si>
  <si>
    <t xml:space="preserve">All joints respond; IMU frame correct</t>
  </si>
  <si>
    <t xml:space="preserve">6–7 Oct</t>
  </si>
  <si>
    <t xml:space="preserve">Tue–Wed</t>
  </si>
  <si>
    <t xml:space="preserve">Walking</t>
  </si>
  <si>
    <t xml:space="preserve">Run v2_rl_walk_mujoco.py with BEST_WALK_ONNX_2 + Xbox pad. Tune offsets and IMU orientation. Test on the event floor type</t>
  </si>
  <si>
    <t xml:space="preserve">Walks 2+ min, turns, recovers</t>
  </si>
  <si>
    <t xml:space="preserve">8 Oct</t>
  </si>
  <si>
    <t xml:space="preserve">Hardening</t>
  </si>
  <si>
    <t xml:space="preserve">Re-torque screws, battery endurance test, charge the spare pack, pack a spares kit (servos, board, cells, SD image)</t>
  </si>
  <si>
    <t xml:space="preserve">30-min demo loop is stable</t>
  </si>
  <si>
    <t xml:space="preserve">9 Oct</t>
  </si>
  <si>
    <t xml:space="preserve">Buffer</t>
  </si>
  <si>
    <t xml:space="preserve">Slack for a failed servo, reprint or rework. Demo rehearsal</t>
  </si>
  <si>
    <t xml:space="preserve">Go / no-go</t>
  </si>
  <si>
    <t xml:space="preserve">10 Oct</t>
  </si>
  <si>
    <t xml:space="preserve">Sat</t>
  </si>
  <si>
    <t xml:space="preserve">Event</t>
  </si>
  <si>
    <t xml:space="preserve">Demo</t>
  </si>
  <si>
    <t xml:space="preserve">—</t>
  </si>
  <si>
    <t xml:space="preserve">Candidate comparison (as of 25 Sep 2026)</t>
  </si>
  <si>
    <t xml:space="preserve">Open Duck Mini v2 (recommended)</t>
  </si>
  <si>
    <t xml:space="preserve">Bimo (mekion)</t>
  </si>
  <si>
    <t xml:space="preserve">Microduck (Pollen / HF)</t>
  </si>
  <si>
    <t xml:space="preserve">Size / weight</t>
  </si>
  <si>
    <t xml:space="preserve">~42 cm</t>
  </si>
  <si>
    <t xml:space="preserve">45 cm / 1.6 kg</t>
  </si>
  <si>
    <t xml:space="preserve">25 cm / 0.8 kg</t>
  </si>
  <si>
    <t xml:space="preserve">DOF / actuators</t>
  </si>
  <si>
    <t xml:space="preserve">14× STS3215 (+2 SG90 antennas)</t>
  </si>
  <si>
    <t xml:space="preserve">8× STS3215</t>
  </si>
  <si>
    <t xml:space="preserve">15× Dynamixel XL330</t>
  </si>
  <si>
    <t xml:space="preserve">Compute</t>
  </si>
  <si>
    <t xml:space="preserve">Pi Zero 2 W</t>
  </si>
  <si>
    <t xml:space="preserve">Custom RP2040 PCB (+ optional SBC / PC)</t>
  </si>
  <si>
    <t xml:space="preserve">Radxa Zero 3W + custom imu_to_dxl board</t>
  </si>
  <si>
    <t xml:space="preserve">CAD / STLs public?</t>
  </si>
  <si>
    <t xml:space="preserve">Yes: STLs in repo + Onshape</t>
  </si>
  <si>
    <t xml:space="preserve">No: 'coming soon'</t>
  </si>
  <si>
    <t xml:space="preserve">No: hardware is proprietary. Community replica is unverified</t>
  </si>
  <si>
    <t xml:space="preserve">Custom PCB needed?</t>
  </si>
  <si>
    <t xml:space="preserve">No (off-the-shelf boards)</t>
  </si>
  <si>
    <t xml:space="preserve">Yes (RP2040 board, not published)</t>
  </si>
  <si>
    <t xml:space="preserve">Yes (IMU→DXL board)</t>
  </si>
  <si>
    <t xml:space="preserve">Kit purchase</t>
  </si>
  <si>
    <t xml:space="preserve">n/a</t>
  </si>
  <si>
    <t xml:space="preserve">$500, EU/US only, ships 'early Q4 2026'</t>
  </si>
  <si>
    <t xml:space="preserve">$399 preorder</t>
  </si>
  <si>
    <t xml:space="preserve">Walking policy available</t>
  </si>
  <si>
    <t xml:space="preserve">Yes: BEST_WALK_ONNX_2 + prebuilt Pi image</t>
  </si>
  <si>
    <t xml:space="preserve">CPG gait + Isaac Lab</t>
  </si>
  <si>
    <t xml:space="preserve">Yes (MuJoCo/PPO), but needs the hardware</t>
  </si>
  <si>
    <t xml:space="preserve">India sourcing</t>
  </si>
  <si>
    <t xml:space="preserve">All parts stocked in India</t>
  </si>
  <si>
    <t xml:space="preserve">Servos yes; PCB/CAD no</t>
  </si>
  <si>
    <t xml:space="preserve">XL330 import; PCB fab ~1–2 wks</t>
  </si>
  <si>
    <t xml:space="preserve">Hits 10 Oct?</t>
  </si>
  <si>
    <t xml:space="preserve">Yes, with ~2 days buffer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</si>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</sst>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velta.com/sts3215-7-4v-19kg-dual-axis-ttl-string-servo-motor/" TargetMode="External"/><Relationship Id="rId2" Type="http://schemas.openxmlformats.org/officeDocument/2006/relationships/hyperlink" Target="https://rees52.com/products/waveshare-serial-bus-servo-driver-board-all-in-one-servo-driver-board-with-integrated-power-control-for-st-sc-actuators-rs8478" TargetMode="External"/><Relationship Id="rId3" Type="http://schemas.openxmlformats.org/officeDocument/2006/relationships/hyperlink" Target="https://evelta.com/raspberry-pi-zero-2-w/" TargetMode="External"/><Relationship Id="rId4" Type="http://schemas.openxmlformats.org/officeDocument/2006/relationships/hyperlink" Target="https://www.fabtolab.com/adafruit-9-dof-absolute-orientation-imu-fusion-breakout-bno055" TargetMode="External"/><Relationship Id="rId5" Type="http://schemas.openxmlformats.org/officeDocument/2006/relationships/hyperlink" Target="https://robu.in/product/3d-printer-limit-switch-endstop-omron-ss-5gl/" TargetMode="External"/><Relationship Id="rId6" Type="http://schemas.openxmlformats.org/officeDocument/2006/relationships/hyperlink" Target="https://robu.in/product/samsung-18650-30q-li-ion-battery/" TargetMode="External"/><Relationship Id="rId7" Type="http://schemas.openxmlformats.org/officeDocument/2006/relationships/hyperlink" Target="https://robu.in/product/2s-20a-18650-lithium-battery-protection-board/" TargetMode="External"/><Relationship Id="rId8" Type="http://schemas.openxmlformats.org/officeDocument/2006/relationships/hyperlink" Target="https://robu.in/product/ubec-5v-3a/" TargetMode="External"/><Relationship Id="rId9" Type="http://schemas.openxmlformats.org/officeDocument/2006/relationships/hyperlink" Target="https://www.zee3d.in/product-page/artillery-premium-black-95a-flexible-tpu-filament-1-kg-1-75-mm" TargetMode="External"/><Relationship Id="rId10" Type="http://schemas.openxmlformats.org/officeDocument/2006/relationships/hyperlink" Target="https://www.amazon.in/xbox-controller/s?k=xbox+controll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5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42"/>
    <col collapsed="false" customWidth="true" hidden="false" outlineLevel="0" max="14" min="14" style="0" width="8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4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35.05" hidden="false" customHeight="false" outlineLevel="0" collapsed="false">
      <c r="A7" s="6" t="n">
        <v>1</v>
      </c>
      <c r="B7" s="7" t="s">
        <v>19</v>
      </c>
      <c r="C7" s="6" t="s">
        <v>20</v>
      </c>
      <c r="D7" s="6" t="s">
        <v>21</v>
      </c>
      <c r="E7" s="8" t="n">
        <v>14</v>
      </c>
      <c r="F7" s="8" t="n">
        <v>2</v>
      </c>
      <c r="G7" s="9" t="n">
        <v>2224.3</v>
      </c>
      <c r="H7" s="10" t="n">
        <f aca="false">(E7+F7)*G7</f>
        <v>35588.8</v>
      </c>
      <c r="I7" s="6" t="s">
        <v>22</v>
      </c>
      <c r="J7" s="11" t="s">
        <v>23</v>
      </c>
      <c r="K7" s="6" t="s">
        <v>24</v>
      </c>
      <c r="L7" s="12" t="s">
        <v>25</v>
      </c>
      <c r="M7" s="6" t="s">
        <v>26</v>
      </c>
      <c r="N7" s="13"/>
      <c r="O7" s="13"/>
    </row>
    <row r="8" customFormat="false" ht="23.85" hidden="false" customHeight="false" outlineLevel="0" collapsed="false">
      <c r="A8" s="6" t="n">
        <v>2</v>
      </c>
      <c r="B8" s="7" t="s">
        <v>19</v>
      </c>
      <c r="C8" s="6" t="s">
        <v>27</v>
      </c>
      <c r="D8" s="6" t="s">
        <v>28</v>
      </c>
      <c r="E8" s="8" t="n">
        <v>1</v>
      </c>
      <c r="F8" s="8" t="n">
        <v>1</v>
      </c>
      <c r="G8" s="9" t="n">
        <v>789</v>
      </c>
      <c r="H8" s="10" t="n">
        <f aca="false">(E8+F8)*G8</f>
        <v>1578</v>
      </c>
      <c r="I8" s="6" t="s">
        <v>29</v>
      </c>
      <c r="J8" s="11" t="s">
        <v>30</v>
      </c>
      <c r="K8" s="6" t="s">
        <v>31</v>
      </c>
      <c r="L8" s="12" t="s">
        <v>25</v>
      </c>
      <c r="M8" s="6" t="s">
        <v>32</v>
      </c>
      <c r="N8" s="13"/>
      <c r="O8" s="13"/>
    </row>
    <row r="9" customFormat="false" ht="23.85" hidden="false" customHeight="false" outlineLevel="0" collapsed="false">
      <c r="A9" s="6" t="n">
        <v>3</v>
      </c>
      <c r="B9" s="7" t="s">
        <v>19</v>
      </c>
      <c r="C9" s="6" t="s">
        <v>33</v>
      </c>
      <c r="D9" s="6" t="s">
        <v>34</v>
      </c>
      <c r="E9" s="8" t="n">
        <v>1</v>
      </c>
      <c r="F9" s="8" t="n">
        <v>0</v>
      </c>
      <c r="G9" s="9" t="n">
        <v>1748.76</v>
      </c>
      <c r="H9" s="10" t="n">
        <f aca="false">(E9+F9)*G9</f>
        <v>1748.76</v>
      </c>
      <c r="I9" s="6" t="s">
        <v>22</v>
      </c>
      <c r="J9" s="11" t="s">
        <v>35</v>
      </c>
      <c r="K9" s="6" t="s">
        <v>36</v>
      </c>
      <c r="L9" s="12" t="s">
        <v>25</v>
      </c>
      <c r="M9" s="6" t="s">
        <v>37</v>
      </c>
      <c r="N9" s="13"/>
      <c r="O9" s="13"/>
    </row>
    <row r="10" customFormat="false" ht="15" hidden="false" customHeight="false" outlineLevel="0" collapsed="false">
      <c r="A10" s="6" t="n">
        <v>4</v>
      </c>
      <c r="B10" s="7" t="s">
        <v>19</v>
      </c>
      <c r="C10" s="6" t="s">
        <v>38</v>
      </c>
      <c r="D10" s="6" t="s">
        <v>39</v>
      </c>
      <c r="E10" s="8" t="n">
        <v>1</v>
      </c>
      <c r="F10" s="8" t="n">
        <v>1</v>
      </c>
      <c r="G10" s="9" t="n">
        <v>30</v>
      </c>
      <c r="H10" s="10" t="n">
        <f aca="false">(E10+F10)*G10</f>
        <v>60</v>
      </c>
      <c r="I10" s="6" t="s">
        <v>40</v>
      </c>
      <c r="J10" s="6"/>
      <c r="K10" s="6" t="s">
        <v>41</v>
      </c>
      <c r="L10" s="6" t="s">
        <v>42</v>
      </c>
      <c r="M10" s="6" t="s">
        <v>43</v>
      </c>
      <c r="N10" s="13"/>
      <c r="O10" s="13"/>
    </row>
    <row r="11" customFormat="false" ht="23.85" hidden="false" customHeight="false" outlineLevel="0" collapsed="false">
      <c r="A11" s="6" t="n">
        <v>5</v>
      </c>
      <c r="B11" s="7" t="s">
        <v>19</v>
      </c>
      <c r="C11" s="6" t="s">
        <v>44</v>
      </c>
      <c r="D11" s="6" t="s">
        <v>45</v>
      </c>
      <c r="E11" s="8" t="n">
        <v>1</v>
      </c>
      <c r="F11" s="8" t="n">
        <v>1</v>
      </c>
      <c r="G11" s="9" t="n">
        <v>450</v>
      </c>
      <c r="H11" s="10" t="n">
        <f aca="false">(E11+F11)*G11</f>
        <v>900</v>
      </c>
      <c r="I11" s="6" t="s">
        <v>46</v>
      </c>
      <c r="J11" s="6"/>
      <c r="K11" s="6" t="s">
        <v>47</v>
      </c>
      <c r="L11" s="6" t="s">
        <v>42</v>
      </c>
      <c r="M11" s="6" t="s">
        <v>48</v>
      </c>
      <c r="N11" s="13"/>
      <c r="O11" s="13"/>
    </row>
    <row r="12" customFormat="false" ht="35.05" hidden="false" customHeight="false" outlineLevel="0" collapsed="false">
      <c r="A12" s="6" t="n">
        <v>6</v>
      </c>
      <c r="B12" s="7" t="s">
        <v>19</v>
      </c>
      <c r="C12" s="6" t="s">
        <v>49</v>
      </c>
      <c r="D12" s="6" t="s">
        <v>50</v>
      </c>
      <c r="E12" s="8" t="n">
        <v>1</v>
      </c>
      <c r="F12" s="8" t="n">
        <v>0</v>
      </c>
      <c r="G12" s="9" t="n">
        <v>4191.58</v>
      </c>
      <c r="H12" s="10" t="n">
        <f aca="false">(E12+F12)*G12</f>
        <v>4191.58</v>
      </c>
      <c r="I12" s="6" t="s">
        <v>51</v>
      </c>
      <c r="J12" s="11" t="s">
        <v>52</v>
      </c>
      <c r="K12" s="6" t="s">
        <v>53</v>
      </c>
      <c r="L12" s="12" t="s">
        <v>25</v>
      </c>
      <c r="M12" s="6" t="s">
        <v>54</v>
      </c>
      <c r="N12" s="13"/>
      <c r="O12" s="13"/>
    </row>
    <row r="13" customFormat="false" ht="15" hidden="false" customHeight="false" outlineLevel="0" collapsed="false">
      <c r="A13" s="6" t="n">
        <v>7</v>
      </c>
      <c r="B13" s="7" t="s">
        <v>19</v>
      </c>
      <c r="C13" s="6" t="s">
        <v>55</v>
      </c>
      <c r="D13" s="6" t="s">
        <v>56</v>
      </c>
      <c r="E13" s="8" t="n">
        <v>4</v>
      </c>
      <c r="F13" s="8" t="n">
        <v>2</v>
      </c>
      <c r="G13" s="9" t="n">
        <v>60</v>
      </c>
      <c r="H13" s="10" t="n">
        <f aca="false">(E13+F13)*G13</f>
        <v>360</v>
      </c>
      <c r="I13" s="6" t="s">
        <v>57</v>
      </c>
      <c r="J13" s="11" t="s">
        <v>58</v>
      </c>
      <c r="K13" s="6" t="s">
        <v>41</v>
      </c>
      <c r="L13" s="6" t="s">
        <v>42</v>
      </c>
      <c r="M13" s="6" t="s">
        <v>59</v>
      </c>
      <c r="N13" s="13"/>
      <c r="O13" s="13"/>
    </row>
    <row r="14" customFormat="false" ht="23.85" hidden="false" customHeight="false" outlineLevel="0" collapsed="false">
      <c r="A14" s="6" t="n">
        <v>8</v>
      </c>
      <c r="B14" s="14" t="s">
        <v>60</v>
      </c>
      <c r="C14" s="6" t="s">
        <v>61</v>
      </c>
      <c r="D14" s="6" t="s">
        <v>62</v>
      </c>
      <c r="E14" s="8" t="n">
        <v>2</v>
      </c>
      <c r="F14" s="8" t="n">
        <v>1</v>
      </c>
      <c r="G14" s="9" t="n">
        <v>120</v>
      </c>
      <c r="H14" s="10" t="n">
        <f aca="false">(E14+F14)*G14</f>
        <v>360</v>
      </c>
      <c r="I14" s="6" t="s">
        <v>63</v>
      </c>
      <c r="J14" s="6"/>
      <c r="K14" s="6" t="s">
        <v>41</v>
      </c>
      <c r="L14" s="6" t="s">
        <v>42</v>
      </c>
      <c r="M14" s="6" t="s">
        <v>64</v>
      </c>
      <c r="N14" s="13"/>
      <c r="O14" s="13"/>
    </row>
    <row r="15" customFormat="false" ht="15" hidden="false" customHeight="false" outlineLevel="0" collapsed="false">
      <c r="A15" s="4" t="s">
        <v>65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23.85" hidden="false" customHeight="false" outlineLevel="0" collapsed="false">
      <c r="A16" s="6" t="n">
        <v>9</v>
      </c>
      <c r="B16" s="7" t="s">
        <v>19</v>
      </c>
      <c r="C16" s="6" t="s">
        <v>66</v>
      </c>
      <c r="D16" s="6" t="s">
        <v>67</v>
      </c>
      <c r="E16" s="8" t="n">
        <v>2</v>
      </c>
      <c r="F16" s="8" t="n">
        <v>2</v>
      </c>
      <c r="G16" s="9" t="n">
        <v>609</v>
      </c>
      <c r="H16" s="10" t="n">
        <f aca="false">(E16+F16)*G16</f>
        <v>2436</v>
      </c>
      <c r="I16" s="6" t="s">
        <v>57</v>
      </c>
      <c r="J16" s="11" t="s">
        <v>68</v>
      </c>
      <c r="K16" s="6" t="s">
        <v>41</v>
      </c>
      <c r="L16" s="12" t="s">
        <v>25</v>
      </c>
      <c r="M16" s="6" t="s">
        <v>69</v>
      </c>
      <c r="N16" s="13"/>
      <c r="O16" s="13"/>
    </row>
    <row r="17" customFormat="false" ht="15" hidden="false" customHeight="false" outlineLevel="0" collapsed="false">
      <c r="A17" s="6" t="n">
        <v>10</v>
      </c>
      <c r="B17" s="7" t="s">
        <v>19</v>
      </c>
      <c r="C17" s="6" t="s">
        <v>70</v>
      </c>
      <c r="D17" s="6" t="s">
        <v>71</v>
      </c>
      <c r="E17" s="8" t="n">
        <v>1</v>
      </c>
      <c r="F17" s="8" t="n">
        <v>1</v>
      </c>
      <c r="G17" s="9" t="n">
        <v>60</v>
      </c>
      <c r="H17" s="10" t="n">
        <f aca="false">(E17+F17)*G17</f>
        <v>120</v>
      </c>
      <c r="I17" s="6" t="s">
        <v>57</v>
      </c>
      <c r="J17" s="6"/>
      <c r="K17" s="6" t="s">
        <v>41</v>
      </c>
      <c r="L17" s="6" t="s">
        <v>42</v>
      </c>
      <c r="M17" s="6"/>
      <c r="N17" s="13"/>
      <c r="O17" s="13"/>
    </row>
    <row r="18" customFormat="false" ht="23.85" hidden="false" customHeight="false" outlineLevel="0" collapsed="false">
      <c r="A18" s="6" t="n">
        <v>11</v>
      </c>
      <c r="B18" s="7" t="s">
        <v>19</v>
      </c>
      <c r="C18" s="6" t="s">
        <v>72</v>
      </c>
      <c r="D18" s="6" t="s">
        <v>73</v>
      </c>
      <c r="E18" s="8" t="n">
        <v>1</v>
      </c>
      <c r="F18" s="8" t="n">
        <v>1</v>
      </c>
      <c r="G18" s="9" t="n">
        <v>250</v>
      </c>
      <c r="H18" s="10" t="n">
        <f aca="false">(E18+F18)*G18</f>
        <v>500</v>
      </c>
      <c r="I18" s="6" t="s">
        <v>57</v>
      </c>
      <c r="J18" s="11" t="s">
        <v>74</v>
      </c>
      <c r="K18" s="6" t="s">
        <v>41</v>
      </c>
      <c r="L18" s="6" t="s">
        <v>42</v>
      </c>
      <c r="M18" s="6" t="s">
        <v>75</v>
      </c>
      <c r="N18" s="13"/>
      <c r="O18" s="13"/>
    </row>
    <row r="19" customFormat="false" ht="15" hidden="false" customHeight="false" outlineLevel="0" collapsed="false">
      <c r="A19" s="6" t="n">
        <v>12</v>
      </c>
      <c r="B19" s="7" t="s">
        <v>19</v>
      </c>
      <c r="C19" s="6" t="s">
        <v>76</v>
      </c>
      <c r="D19" s="6" t="s">
        <v>77</v>
      </c>
      <c r="E19" s="8" t="n">
        <v>1</v>
      </c>
      <c r="F19" s="8" t="n">
        <v>0</v>
      </c>
      <c r="G19" s="9" t="n">
        <v>269</v>
      </c>
      <c r="H19" s="10" t="n">
        <f aca="false">(E19+F19)*G19</f>
        <v>269</v>
      </c>
      <c r="I19" s="6" t="s">
        <v>57</v>
      </c>
      <c r="J19" s="11" t="s">
        <v>78</v>
      </c>
      <c r="K19" s="6" t="s">
        <v>41</v>
      </c>
      <c r="L19" s="12" t="s">
        <v>25</v>
      </c>
      <c r="M19" s="6"/>
      <c r="N19" s="13"/>
      <c r="O19" s="13"/>
    </row>
    <row r="20" customFormat="false" ht="23.85" hidden="false" customHeight="false" outlineLevel="0" collapsed="false">
      <c r="A20" s="6" t="n">
        <v>13</v>
      </c>
      <c r="B20" s="7" t="s">
        <v>19</v>
      </c>
      <c r="C20" s="6" t="s">
        <v>79</v>
      </c>
      <c r="D20" s="6" t="s">
        <v>80</v>
      </c>
      <c r="E20" s="8" t="n">
        <v>1</v>
      </c>
      <c r="F20" s="8" t="n">
        <v>0</v>
      </c>
      <c r="G20" s="9" t="n">
        <v>250</v>
      </c>
      <c r="H20" s="10" t="n">
        <f aca="false">(E20+F20)*G20</f>
        <v>250</v>
      </c>
      <c r="I20" s="6" t="s">
        <v>81</v>
      </c>
      <c r="J20" s="6"/>
      <c r="K20" s="6" t="s">
        <v>41</v>
      </c>
      <c r="L20" s="6" t="s">
        <v>42</v>
      </c>
      <c r="M20" s="6" t="s">
        <v>82</v>
      </c>
      <c r="N20" s="13"/>
      <c r="O20" s="13"/>
    </row>
    <row r="21" customFormat="false" ht="15" hidden="false" customHeight="false" outlineLevel="0" collapsed="false">
      <c r="A21" s="6" t="n">
        <v>14</v>
      </c>
      <c r="B21" s="7" t="s">
        <v>19</v>
      </c>
      <c r="C21" s="6" t="s">
        <v>83</v>
      </c>
      <c r="D21" s="6" t="s">
        <v>84</v>
      </c>
      <c r="E21" s="8" t="n">
        <v>1</v>
      </c>
      <c r="F21" s="8" t="n">
        <v>1</v>
      </c>
      <c r="G21" s="9" t="n">
        <v>50</v>
      </c>
      <c r="H21" s="10" t="n">
        <f aca="false">(E21+F21)*G21</f>
        <v>100</v>
      </c>
      <c r="I21" s="6" t="s">
        <v>57</v>
      </c>
      <c r="J21" s="6"/>
      <c r="K21" s="6" t="s">
        <v>41</v>
      </c>
      <c r="L21" s="6" t="s">
        <v>42</v>
      </c>
      <c r="M21" s="6"/>
      <c r="N21" s="13"/>
      <c r="O21" s="13"/>
    </row>
    <row r="22" customFormat="false" ht="15" hidden="false" customHeight="false" outlineLevel="0" collapsed="false">
      <c r="A22" s="6" t="n">
        <v>15</v>
      </c>
      <c r="B22" s="7" t="s">
        <v>19</v>
      </c>
      <c r="C22" s="6" t="s">
        <v>85</v>
      </c>
      <c r="D22" s="6" t="s">
        <v>86</v>
      </c>
      <c r="E22" s="8" t="n">
        <v>3</v>
      </c>
      <c r="F22" s="8" t="n">
        <v>0</v>
      </c>
      <c r="G22" s="9" t="n">
        <v>50</v>
      </c>
      <c r="H22" s="10" t="n">
        <f aca="false">(E22+F22)*G22</f>
        <v>150</v>
      </c>
      <c r="I22" s="6" t="s">
        <v>57</v>
      </c>
      <c r="J22" s="6"/>
      <c r="K22" s="6" t="s">
        <v>41</v>
      </c>
      <c r="L22" s="6" t="s">
        <v>42</v>
      </c>
      <c r="M22" s="6"/>
      <c r="N22" s="13"/>
      <c r="O22" s="13"/>
    </row>
    <row r="23" customFormat="false" ht="15" hidden="false" customHeight="false" outlineLevel="0" collapsed="false">
      <c r="A23" s="6" t="n">
        <v>16</v>
      </c>
      <c r="B23" s="7" t="s">
        <v>19</v>
      </c>
      <c r="C23" s="6" t="s">
        <v>87</v>
      </c>
      <c r="D23" s="6" t="s">
        <v>88</v>
      </c>
      <c r="E23" s="8" t="n">
        <v>2</v>
      </c>
      <c r="F23" s="8" t="n">
        <v>0</v>
      </c>
      <c r="G23" s="9" t="n">
        <v>30</v>
      </c>
      <c r="H23" s="10" t="n">
        <f aca="false">(E23+F23)*G23</f>
        <v>60</v>
      </c>
      <c r="I23" s="6" t="s">
        <v>57</v>
      </c>
      <c r="J23" s="6"/>
      <c r="K23" s="6" t="s">
        <v>41</v>
      </c>
      <c r="L23" s="6" t="s">
        <v>42</v>
      </c>
      <c r="M23" s="6"/>
      <c r="N23" s="13"/>
      <c r="O23" s="13"/>
    </row>
    <row r="24" customFormat="false" ht="15" hidden="false" customHeight="false" outlineLevel="0" collapsed="false">
      <c r="A24" s="6" t="n">
        <v>17</v>
      </c>
      <c r="B24" s="14" t="s">
        <v>60</v>
      </c>
      <c r="C24" s="6" t="s">
        <v>89</v>
      </c>
      <c r="D24" s="6" t="s">
        <v>90</v>
      </c>
      <c r="E24" s="8" t="n">
        <v>1</v>
      </c>
      <c r="F24" s="8" t="n">
        <v>0</v>
      </c>
      <c r="G24" s="9" t="n">
        <v>900</v>
      </c>
      <c r="H24" s="10" t="n">
        <f aca="false">(E24+F24)*G24</f>
        <v>900</v>
      </c>
      <c r="I24" s="6" t="s">
        <v>46</v>
      </c>
      <c r="J24" s="6"/>
      <c r="K24" s="6" t="s">
        <v>47</v>
      </c>
      <c r="L24" s="6" t="s">
        <v>42</v>
      </c>
      <c r="M24" s="6" t="s">
        <v>91</v>
      </c>
      <c r="N24" s="13"/>
      <c r="O24" s="13"/>
    </row>
    <row r="25" customFormat="false" ht="15" hidden="false" customHeight="false" outlineLevel="0" collapsed="false">
      <c r="A25" s="4" t="s">
        <v>92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5" hidden="false" customHeight="false" outlineLevel="0" collapsed="false">
      <c r="A26" s="6" t="n">
        <v>18</v>
      </c>
      <c r="B26" s="7" t="s">
        <v>19</v>
      </c>
      <c r="C26" s="6" t="s">
        <v>93</v>
      </c>
      <c r="D26" s="6" t="s">
        <v>94</v>
      </c>
      <c r="E26" s="8" t="n">
        <v>3</v>
      </c>
      <c r="F26" s="8" t="n">
        <v>2</v>
      </c>
      <c r="G26" s="9" t="n">
        <v>30</v>
      </c>
      <c r="H26" s="10" t="n">
        <f aca="false">(E26+F26)*G26</f>
        <v>150</v>
      </c>
      <c r="I26" s="6" t="s">
        <v>95</v>
      </c>
      <c r="J26" s="6"/>
      <c r="K26" s="6" t="s">
        <v>41</v>
      </c>
      <c r="L26" s="6" t="s">
        <v>42</v>
      </c>
      <c r="M26" s="6"/>
      <c r="N26" s="13"/>
      <c r="O26" s="13"/>
    </row>
    <row r="27" customFormat="false" ht="15" hidden="false" customHeight="false" outlineLevel="0" collapsed="false">
      <c r="A27" s="6" t="n">
        <v>19</v>
      </c>
      <c r="B27" s="7" t="s">
        <v>19</v>
      </c>
      <c r="C27" s="6" t="s">
        <v>96</v>
      </c>
      <c r="D27" s="6" t="s">
        <v>97</v>
      </c>
      <c r="E27" s="8" t="n">
        <v>1</v>
      </c>
      <c r="F27" s="8" t="n">
        <v>0</v>
      </c>
      <c r="G27" s="9" t="n">
        <v>450</v>
      </c>
      <c r="H27" s="10" t="n">
        <f aca="false">(E27+F27)*G27</f>
        <v>450</v>
      </c>
      <c r="I27" s="6" t="s">
        <v>57</v>
      </c>
      <c r="J27" s="6"/>
      <c r="K27" s="6" t="s">
        <v>41</v>
      </c>
      <c r="L27" s="6" t="s">
        <v>42</v>
      </c>
      <c r="M27" s="6" t="s">
        <v>98</v>
      </c>
      <c r="N27" s="13"/>
      <c r="O27" s="13"/>
    </row>
    <row r="28" customFormat="false" ht="23.85" hidden="false" customHeight="false" outlineLevel="0" collapsed="false">
      <c r="A28" s="6" t="n">
        <v>20</v>
      </c>
      <c r="B28" s="7" t="s">
        <v>19</v>
      </c>
      <c r="C28" s="6" t="s">
        <v>99</v>
      </c>
      <c r="D28" s="6" t="s">
        <v>100</v>
      </c>
      <c r="E28" s="8" t="n">
        <v>1</v>
      </c>
      <c r="F28" s="8" t="n">
        <v>0</v>
      </c>
      <c r="G28" s="9" t="n">
        <v>600</v>
      </c>
      <c r="H28" s="10" t="n">
        <f aca="false">(E28+F28)*G28</f>
        <v>600</v>
      </c>
      <c r="I28" s="6" t="s">
        <v>46</v>
      </c>
      <c r="J28" s="6"/>
      <c r="K28" s="6" t="s">
        <v>47</v>
      </c>
      <c r="L28" s="6" t="s">
        <v>42</v>
      </c>
      <c r="M28" s="6" t="s">
        <v>101</v>
      </c>
      <c r="N28" s="13"/>
      <c r="O28" s="13"/>
    </row>
    <row r="29" customFormat="false" ht="23.85" hidden="false" customHeight="false" outlineLevel="0" collapsed="false">
      <c r="A29" s="6" t="n">
        <v>21</v>
      </c>
      <c r="B29" s="7" t="s">
        <v>19</v>
      </c>
      <c r="C29" s="6" t="s">
        <v>102</v>
      </c>
      <c r="D29" s="6" t="s">
        <v>103</v>
      </c>
      <c r="E29" s="8" t="n">
        <v>2</v>
      </c>
      <c r="F29" s="8" t="n">
        <v>0</v>
      </c>
      <c r="G29" s="9" t="n">
        <v>1000</v>
      </c>
      <c r="H29" s="10" t="n">
        <f aca="false">(E29+F29)*G29</f>
        <v>2000</v>
      </c>
      <c r="I29" s="6" t="s">
        <v>104</v>
      </c>
      <c r="J29" s="6"/>
      <c r="K29" s="6" t="s">
        <v>47</v>
      </c>
      <c r="L29" s="6" t="s">
        <v>42</v>
      </c>
      <c r="M29" s="6" t="s">
        <v>105</v>
      </c>
      <c r="N29" s="13"/>
      <c r="O29" s="13"/>
    </row>
    <row r="30" customFormat="false" ht="23.85" hidden="false" customHeight="false" outlineLevel="0" collapsed="false">
      <c r="A30" s="6" t="n">
        <v>22</v>
      </c>
      <c r="B30" s="7" t="s">
        <v>19</v>
      </c>
      <c r="C30" s="6" t="s">
        <v>106</v>
      </c>
      <c r="D30" s="6" t="s">
        <v>107</v>
      </c>
      <c r="E30" s="8" t="n">
        <v>1</v>
      </c>
      <c r="F30" s="8" t="n">
        <v>0</v>
      </c>
      <c r="G30" s="9" t="n">
        <v>1500</v>
      </c>
      <c r="H30" s="10" t="n">
        <f aca="false">(E30+F30)*G30</f>
        <v>1500</v>
      </c>
      <c r="I30" s="6" t="s">
        <v>108</v>
      </c>
      <c r="J30" s="11" t="s">
        <v>109</v>
      </c>
      <c r="K30" s="6" t="s">
        <v>41</v>
      </c>
      <c r="L30" s="6" t="s">
        <v>42</v>
      </c>
      <c r="M30" s="6" t="s">
        <v>110</v>
      </c>
      <c r="N30" s="13"/>
      <c r="O30" s="13"/>
    </row>
    <row r="31" customFormat="false" ht="23.85" hidden="false" customHeight="false" outlineLevel="0" collapsed="false">
      <c r="A31" s="6" t="n">
        <v>23</v>
      </c>
      <c r="B31" s="7" t="s">
        <v>19</v>
      </c>
      <c r="C31" s="6" t="s">
        <v>111</v>
      </c>
      <c r="D31" s="6" t="s">
        <v>112</v>
      </c>
      <c r="E31" s="8" t="n">
        <v>1</v>
      </c>
      <c r="F31" s="8" t="n">
        <v>0</v>
      </c>
      <c r="G31" s="9" t="n">
        <v>450</v>
      </c>
      <c r="H31" s="10" t="n">
        <f aca="false">(E31+F31)*G31</f>
        <v>450</v>
      </c>
      <c r="I31" s="6" t="s">
        <v>46</v>
      </c>
      <c r="J31" s="6"/>
      <c r="K31" s="6" t="s">
        <v>47</v>
      </c>
      <c r="L31" s="6" t="s">
        <v>42</v>
      </c>
      <c r="M31" s="6" t="s">
        <v>113</v>
      </c>
      <c r="N31" s="13"/>
      <c r="O31" s="13"/>
    </row>
    <row r="32" customFormat="false" ht="23.85" hidden="false" customHeight="false" outlineLevel="0" collapsed="false">
      <c r="A32" s="6" t="n">
        <v>24</v>
      </c>
      <c r="B32" s="7" t="s">
        <v>19</v>
      </c>
      <c r="C32" s="6" t="s">
        <v>114</v>
      </c>
      <c r="D32" s="6" t="s">
        <v>115</v>
      </c>
      <c r="E32" s="8" t="n">
        <v>2</v>
      </c>
      <c r="F32" s="8" t="n">
        <v>0</v>
      </c>
      <c r="G32" s="9" t="n">
        <v>200</v>
      </c>
      <c r="H32" s="10" t="n">
        <f aca="false">(E32+F32)*G32</f>
        <v>400</v>
      </c>
      <c r="I32" s="6" t="s">
        <v>46</v>
      </c>
      <c r="J32" s="6"/>
      <c r="K32" s="6" t="s">
        <v>47</v>
      </c>
      <c r="L32" s="6" t="s">
        <v>42</v>
      </c>
      <c r="M32" s="6" t="s">
        <v>116</v>
      </c>
      <c r="N32" s="13"/>
      <c r="O32" s="13"/>
    </row>
    <row r="33" customFormat="false" ht="23.85" hidden="false" customHeight="false" outlineLevel="0" collapsed="false">
      <c r="A33" s="6" t="n">
        <v>25</v>
      </c>
      <c r="B33" s="7" t="s">
        <v>19</v>
      </c>
      <c r="C33" s="6" t="s">
        <v>117</v>
      </c>
      <c r="D33" s="6" t="s">
        <v>118</v>
      </c>
      <c r="E33" s="8" t="n">
        <v>1</v>
      </c>
      <c r="F33" s="8" t="n">
        <v>0</v>
      </c>
      <c r="G33" s="9" t="n">
        <v>450</v>
      </c>
      <c r="H33" s="10" t="n">
        <f aca="false">(E33+F33)*G33</f>
        <v>450</v>
      </c>
      <c r="I33" s="6" t="s">
        <v>57</v>
      </c>
      <c r="J33" s="6"/>
      <c r="K33" s="6" t="s">
        <v>41</v>
      </c>
      <c r="L33" s="6" t="s">
        <v>42</v>
      </c>
      <c r="M33" s="6"/>
      <c r="N33" s="13"/>
      <c r="O33" s="13"/>
    </row>
    <row r="34" customFormat="false" ht="15" hidden="false" customHeight="false" outlineLevel="0" collapsed="false">
      <c r="A34" s="6" t="n">
        <v>26</v>
      </c>
      <c r="B34" s="14" t="s">
        <v>60</v>
      </c>
      <c r="C34" s="6" t="s">
        <v>119</v>
      </c>
      <c r="D34" s="6" t="s">
        <v>120</v>
      </c>
      <c r="E34" s="8" t="n">
        <v>1</v>
      </c>
      <c r="F34" s="8" t="n">
        <v>0</v>
      </c>
      <c r="G34" s="9" t="n">
        <v>200</v>
      </c>
      <c r="H34" s="10" t="n">
        <f aca="false">(E34+F34)*G34</f>
        <v>200</v>
      </c>
      <c r="I34" s="6" t="s">
        <v>46</v>
      </c>
      <c r="J34" s="6"/>
      <c r="K34" s="6" t="s">
        <v>47</v>
      </c>
      <c r="L34" s="6" t="s">
        <v>42</v>
      </c>
      <c r="M34" s="6"/>
      <c r="N34" s="13"/>
      <c r="O34" s="13"/>
    </row>
    <row r="35" customFormat="false" ht="23.85" hidden="false" customHeight="false" outlineLevel="0" collapsed="false">
      <c r="A35" s="6" t="n">
        <v>27</v>
      </c>
      <c r="B35" s="14" t="s">
        <v>60</v>
      </c>
      <c r="C35" s="6" t="s">
        <v>121</v>
      </c>
      <c r="D35" s="6" t="s">
        <v>122</v>
      </c>
      <c r="E35" s="8" t="n">
        <v>4</v>
      </c>
      <c r="F35" s="8" t="n">
        <v>0</v>
      </c>
      <c r="G35" s="9" t="n">
        <v>60</v>
      </c>
      <c r="H35" s="10" t="n">
        <f aca="false">(E35+F35)*G35</f>
        <v>240</v>
      </c>
      <c r="I35" s="6" t="s">
        <v>123</v>
      </c>
      <c r="J35" s="6"/>
      <c r="K35" s="6" t="s">
        <v>41</v>
      </c>
      <c r="L35" s="6" t="s">
        <v>42</v>
      </c>
      <c r="M35" s="6" t="s">
        <v>124</v>
      </c>
      <c r="N35" s="13"/>
      <c r="O35" s="13"/>
    </row>
    <row r="36" customFormat="false" ht="15" hidden="false" customHeight="false" outlineLevel="0" collapsed="false">
      <c r="A36" s="4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customFormat="false" ht="23.85" hidden="false" customHeight="false" outlineLevel="0" collapsed="false">
      <c r="A37" s="6" t="n">
        <v>28</v>
      </c>
      <c r="B37" s="15" t="s">
        <v>126</v>
      </c>
      <c r="C37" s="6" t="s">
        <v>127</v>
      </c>
      <c r="D37" s="6" t="s">
        <v>128</v>
      </c>
      <c r="E37" s="8" t="n">
        <v>1</v>
      </c>
      <c r="F37" s="8" t="n">
        <v>0</v>
      </c>
      <c r="G37" s="9" t="n">
        <v>650</v>
      </c>
      <c r="H37" s="10" t="n">
        <f aca="false">(E37+F37)*G37</f>
        <v>650</v>
      </c>
      <c r="I37" s="6" t="s">
        <v>63</v>
      </c>
      <c r="J37" s="6"/>
      <c r="K37" s="6" t="s">
        <v>41</v>
      </c>
      <c r="L37" s="6" t="s">
        <v>42</v>
      </c>
      <c r="M37" s="6"/>
      <c r="N37" s="13"/>
      <c r="O37" s="13"/>
    </row>
    <row r="38" customFormat="false" ht="15" hidden="false" customHeight="false" outlineLevel="0" collapsed="false">
      <c r="A38" s="6" t="n">
        <v>29</v>
      </c>
      <c r="B38" s="15" t="s">
        <v>126</v>
      </c>
      <c r="C38" s="6" t="s">
        <v>129</v>
      </c>
      <c r="D38" s="6" t="s">
        <v>130</v>
      </c>
      <c r="E38" s="8" t="n">
        <v>1</v>
      </c>
      <c r="F38" s="8" t="n">
        <v>0</v>
      </c>
      <c r="G38" s="9" t="n">
        <v>300</v>
      </c>
      <c r="H38" s="10" t="n">
        <f aca="false">(E38+F38)*G38</f>
        <v>300</v>
      </c>
      <c r="I38" s="6" t="s">
        <v>57</v>
      </c>
      <c r="J38" s="6"/>
      <c r="K38" s="6" t="s">
        <v>41</v>
      </c>
      <c r="L38" s="6" t="s">
        <v>42</v>
      </c>
      <c r="M38" s="6"/>
      <c r="N38" s="13"/>
      <c r="O38" s="13"/>
    </row>
    <row r="39" customFormat="false" ht="15" hidden="false" customHeight="false" outlineLevel="0" collapsed="false">
      <c r="A39" s="6" t="n">
        <v>30</v>
      </c>
      <c r="B39" s="15" t="s">
        <v>126</v>
      </c>
      <c r="C39" s="6" t="s">
        <v>131</v>
      </c>
      <c r="D39" s="6" t="s">
        <v>132</v>
      </c>
      <c r="E39" s="8" t="n">
        <v>1</v>
      </c>
      <c r="F39" s="8" t="n">
        <v>0</v>
      </c>
      <c r="G39" s="9" t="n">
        <v>120</v>
      </c>
      <c r="H39" s="10" t="n">
        <f aca="false">(E39+F39)*G39</f>
        <v>120</v>
      </c>
      <c r="I39" s="6" t="s">
        <v>57</v>
      </c>
      <c r="J39" s="6"/>
      <c r="K39" s="6" t="s">
        <v>41</v>
      </c>
      <c r="L39" s="6" t="s">
        <v>42</v>
      </c>
      <c r="M39" s="6"/>
      <c r="N39" s="13"/>
      <c r="O39" s="13"/>
    </row>
    <row r="40" customFormat="false" ht="15" hidden="false" customHeight="false" outlineLevel="0" collapsed="false">
      <c r="A40" s="6" t="n">
        <v>31</v>
      </c>
      <c r="B40" s="15" t="s">
        <v>126</v>
      </c>
      <c r="C40" s="6" t="s">
        <v>133</v>
      </c>
      <c r="D40" s="6" t="s">
        <v>134</v>
      </c>
      <c r="E40" s="8" t="n">
        <v>1</v>
      </c>
      <c r="F40" s="8" t="n">
        <v>0</v>
      </c>
      <c r="G40" s="9" t="n">
        <v>350</v>
      </c>
      <c r="H40" s="10" t="n">
        <f aca="false">(E40+F40)*G40</f>
        <v>350</v>
      </c>
      <c r="I40" s="6" t="s">
        <v>46</v>
      </c>
      <c r="J40" s="6"/>
      <c r="K40" s="6" t="s">
        <v>47</v>
      </c>
      <c r="L40" s="6" t="s">
        <v>42</v>
      </c>
      <c r="M40" s="6"/>
      <c r="N40" s="13"/>
      <c r="O40" s="13"/>
    </row>
    <row r="41" customFormat="false" ht="15" hidden="false" customHeight="false" outlineLevel="0" collapsed="false">
      <c r="A41" s="6" t="n">
        <v>32</v>
      </c>
      <c r="B41" s="15" t="s">
        <v>126</v>
      </c>
      <c r="C41" s="6" t="s">
        <v>135</v>
      </c>
      <c r="D41" s="6" t="s">
        <v>136</v>
      </c>
      <c r="E41" s="8" t="n">
        <v>1</v>
      </c>
      <c r="F41" s="8" t="n">
        <v>0</v>
      </c>
      <c r="G41" s="9" t="n">
        <v>150</v>
      </c>
      <c r="H41" s="10" t="n">
        <f aca="false">(E41+F41)*G41</f>
        <v>150</v>
      </c>
      <c r="I41" s="6" t="s">
        <v>57</v>
      </c>
      <c r="J41" s="6"/>
      <c r="K41" s="6" t="s">
        <v>41</v>
      </c>
      <c r="L41" s="6" t="s">
        <v>42</v>
      </c>
      <c r="M41" s="6"/>
      <c r="N41" s="13"/>
      <c r="O41" s="13"/>
    </row>
    <row r="42" customFormat="false" ht="15" hidden="false" customHeight="false" outlineLevel="0" collapsed="false">
      <c r="A42" s="4" t="s">
        <v>137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customFormat="false" ht="23.85" hidden="false" customHeight="false" outlineLevel="0" collapsed="false">
      <c r="A43" s="6" t="n">
        <v>33</v>
      </c>
      <c r="B43" s="14" t="s">
        <v>60</v>
      </c>
      <c r="C43" s="6" t="s">
        <v>138</v>
      </c>
      <c r="D43" s="6" t="s">
        <v>139</v>
      </c>
      <c r="E43" s="8" t="n">
        <v>1</v>
      </c>
      <c r="F43" s="8" t="n">
        <v>0</v>
      </c>
      <c r="G43" s="9" t="n">
        <v>5000</v>
      </c>
      <c r="H43" s="10" t="n">
        <f aca="false">(E43+F43)*G43</f>
        <v>5000</v>
      </c>
      <c r="I43" s="6" t="s">
        <v>46</v>
      </c>
      <c r="J43" s="11" t="s">
        <v>140</v>
      </c>
      <c r="K43" s="6" t="s">
        <v>47</v>
      </c>
      <c r="L43" s="6" t="s">
        <v>42</v>
      </c>
      <c r="M43" s="6" t="s">
        <v>141</v>
      </c>
      <c r="N43" s="13"/>
      <c r="O43" s="13"/>
    </row>
    <row r="45" customFormat="false" ht="15" hidden="false" customHeight="false" outlineLevel="0" collapsed="false">
      <c r="C45" s="16" t="s">
        <v>142</v>
      </c>
      <c r="H45" s="17" t="n">
        <f aca="false">SUMIF(B6:B43,"P0",H6:H43)</f>
        <v>54312.14</v>
      </c>
    </row>
    <row r="46" customFormat="false" ht="15" hidden="false" customHeight="false" outlineLevel="0" collapsed="false">
      <c r="C46" s="16" t="s">
        <v>143</v>
      </c>
      <c r="H46" s="17" t="n">
        <f aca="false">SUMIF(B6:B43,"P1",H6:H43)</f>
        <v>6700</v>
      </c>
    </row>
    <row r="47" customFormat="false" ht="15" hidden="false" customHeight="false" outlineLevel="0" collapsed="false">
      <c r="C47" s="16" t="s">
        <v>144</v>
      </c>
      <c r="H47" s="17" t="n">
        <f aca="false">SUMIF(B6:B43,"P2",H6:H43)</f>
        <v>1570</v>
      </c>
    </row>
    <row r="48" customFormat="false" ht="15" hidden="false" customHeight="false" outlineLevel="0" collapsed="false">
      <c r="C48" s="16" t="s">
        <v>145</v>
      </c>
      <c r="H48" s="17" t="n">
        <f aca="false">SUM(H6:H43)</f>
        <v>62582.14</v>
      </c>
    </row>
    <row r="49" customFormat="false" ht="15" hidden="false" customHeight="false" outlineLevel="0" collapsed="false">
      <c r="C49" s="16" t="s">
        <v>146</v>
      </c>
      <c r="H49" s="17" t="n">
        <f aca="false">SUMPRODUCT(F6:F43,G6:G43)</f>
        <v>7595.6</v>
      </c>
    </row>
    <row r="50" customFormat="false" ht="15" hidden="false" customHeight="false" outlineLevel="0" collapsed="false">
      <c r="C50" s="16" t="s">
        <v>147</v>
      </c>
      <c r="H50" s="18" t="n">
        <v>2000</v>
      </c>
    </row>
    <row r="51" customFormat="false" ht="15" hidden="false" customHeight="false" outlineLevel="0" collapsed="false">
      <c r="C51" s="16" t="s">
        <v>148</v>
      </c>
      <c r="H51" s="17" t="n">
        <f aca="false">H48+H50</f>
        <v>64582.14</v>
      </c>
    </row>
    <row r="53" customFormat="false" ht="15" hidden="false" customHeight="false" outlineLevel="0" collapsed="false">
      <c r="A53" s="2" t="s">
        <v>149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" hidden="false" customHeight="false" outlineLevel="0" collapsed="false">
      <c r="A54" s="2" t="s">
        <v>150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</sheetData>
  <mergeCells count="4">
    <mergeCell ref="A2:O2"/>
    <mergeCell ref="A3:O3"/>
    <mergeCell ref="A53:O53"/>
    <mergeCell ref="A54:O54"/>
  </mergeCells>
  <dataValidations count="1">
    <dataValidation allowBlank="true" errorStyle="stop" operator="between" showDropDown="false" showErrorMessage="false" showInputMessage="false" sqref="N6:N43" type="list">
      <formula1>"Y,N"</formula1>
      <formula2>0</formula2>
    </dataValidation>
  </dataValidations>
  <hyperlinks>
    <hyperlink ref="J7" r:id="rId1" display="https://evelta.com/sts3215-7-4v-19kg-dual-axis-ttl-string-servo-motor/"/>
    <hyperlink ref="J8" r:id="rId2" display="https://rees52.com/products/waveshare-serial-bus-servo-driver-board-all-in-one-servo-driver-board-with-integrated-power-control-for-st-sc-actuators-rs8478"/>
    <hyperlink ref="J9" r:id="rId3" display="https://evelta.com/raspberry-pi-zero-2-w/"/>
    <hyperlink ref="J12" r:id="rId4" display="https://www.fabtolab.com/adafruit-9-dof-absolute-orientation-imu-fusion-breakout-bno055"/>
    <hyperlink ref="J13" r:id="rId5" display="https://robu.in/product/3d-printer-limit-switch-endstop-omron-ss-5gl/"/>
    <hyperlink ref="J16" r:id="rId6" display="https://robu.in/product/samsung-18650-30q-li-ion-battery/"/>
    <hyperlink ref="J18" r:id="rId7" display="https://robu.in/product/2s-20a-18650-lithium-battery-protection-board/"/>
    <hyperlink ref="J19" r:id="rId8" display="https://robu.in/product/ubec-5v-3a/"/>
    <hyperlink ref="J30" r:id="rId9" display="https://www.zee3d.in/product-page/artillery-premium-black-95a-flexible-tpu-filament-1-kg-1-75-mm"/>
    <hyperlink ref="J43" r:id="rId10" display="https://www.amazon.in/xbox-controller/s?k=xbox+controll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40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19" t="s">
        <v>152</v>
      </c>
      <c r="B3" s="19" t="s">
        <v>153</v>
      </c>
      <c r="C3" s="19" t="s">
        <v>154</v>
      </c>
      <c r="D3" s="19" t="s">
        <v>155</v>
      </c>
      <c r="E3" s="19" t="s">
        <v>156</v>
      </c>
      <c r="F3" s="19" t="s">
        <v>157</v>
      </c>
      <c r="G3" s="19" t="s">
        <v>158</v>
      </c>
    </row>
    <row r="4" customFormat="false" ht="23.85" hidden="false" customHeight="false" outlineLevel="0" collapsed="false">
      <c r="A4" s="6" t="s">
        <v>159</v>
      </c>
      <c r="B4" s="6" t="s">
        <v>160</v>
      </c>
      <c r="C4" s="6" t="s">
        <v>161</v>
      </c>
      <c r="D4" s="6" t="s">
        <v>162</v>
      </c>
      <c r="E4" s="6" t="s">
        <v>163</v>
      </c>
      <c r="F4" s="20"/>
      <c r="G4" s="20"/>
    </row>
    <row r="5" customFormat="false" ht="23.85" hidden="false" customHeight="false" outlineLevel="0" collapsed="false">
      <c r="A5" s="6" t="s">
        <v>164</v>
      </c>
      <c r="B5" s="6" t="s">
        <v>165</v>
      </c>
      <c r="C5" s="6" t="s">
        <v>166</v>
      </c>
      <c r="D5" s="6" t="s">
        <v>167</v>
      </c>
      <c r="E5" s="6" t="s">
        <v>168</v>
      </c>
      <c r="F5" s="20"/>
      <c r="G5" s="20"/>
    </row>
    <row r="6" customFormat="false" ht="35.05" hidden="false" customHeight="false" outlineLevel="0" collapsed="false">
      <c r="A6" s="6" t="s">
        <v>169</v>
      </c>
      <c r="B6" s="6" t="s">
        <v>170</v>
      </c>
      <c r="C6" s="6" t="s">
        <v>171</v>
      </c>
      <c r="D6" s="6" t="s">
        <v>172</v>
      </c>
      <c r="E6" s="6" t="s">
        <v>173</v>
      </c>
      <c r="F6" s="20"/>
      <c r="G6" s="20"/>
    </row>
    <row r="7" customFormat="false" ht="23.85" hidden="false" customHeight="false" outlineLevel="0" collapsed="false">
      <c r="A7" s="6" t="s">
        <v>174</v>
      </c>
      <c r="B7" s="6" t="s">
        <v>175</v>
      </c>
      <c r="C7" s="6" t="s">
        <v>176</v>
      </c>
      <c r="D7" s="6" t="s">
        <v>177</v>
      </c>
      <c r="E7" s="6" t="s">
        <v>178</v>
      </c>
      <c r="F7" s="20"/>
      <c r="G7" s="20"/>
    </row>
    <row r="8" customFormat="false" ht="23.85" hidden="false" customHeight="false" outlineLevel="0" collapsed="false">
      <c r="A8" s="6" t="s">
        <v>179</v>
      </c>
      <c r="B8" s="6" t="s">
        <v>180</v>
      </c>
      <c r="C8" s="6" t="s">
        <v>181</v>
      </c>
      <c r="D8" s="6" t="s">
        <v>182</v>
      </c>
      <c r="E8" s="6" t="s">
        <v>183</v>
      </c>
      <c r="F8" s="20"/>
      <c r="G8" s="20"/>
    </row>
    <row r="9" customFormat="false" ht="23.85" hidden="false" customHeight="false" outlineLevel="0" collapsed="false">
      <c r="A9" s="6" t="s">
        <v>184</v>
      </c>
      <c r="B9" s="6" t="s">
        <v>185</v>
      </c>
      <c r="C9" s="6" t="s">
        <v>186</v>
      </c>
      <c r="D9" s="6" t="s">
        <v>187</v>
      </c>
      <c r="E9" s="6" t="s">
        <v>188</v>
      </c>
      <c r="F9" s="20"/>
      <c r="G9" s="20"/>
    </row>
    <row r="10" customFormat="false" ht="23.85" hidden="false" customHeight="false" outlineLevel="0" collapsed="false">
      <c r="A10" s="6" t="s">
        <v>189</v>
      </c>
      <c r="B10" s="6" t="s">
        <v>190</v>
      </c>
      <c r="C10" s="6" t="s">
        <v>191</v>
      </c>
      <c r="D10" s="6" t="s">
        <v>192</v>
      </c>
      <c r="E10" s="6" t="s">
        <v>193</v>
      </c>
      <c r="F10" s="20"/>
      <c r="G10" s="20"/>
    </row>
    <row r="11" customFormat="false" ht="23.85" hidden="false" customHeight="false" outlineLevel="0" collapsed="false">
      <c r="A11" s="6" t="s">
        <v>194</v>
      </c>
      <c r="B11" s="6" t="s">
        <v>195</v>
      </c>
      <c r="C11" s="6" t="s">
        <v>196</v>
      </c>
      <c r="D11" s="6" t="s">
        <v>197</v>
      </c>
      <c r="E11" s="6" t="s">
        <v>198</v>
      </c>
      <c r="F11" s="20"/>
      <c r="G11" s="20"/>
    </row>
    <row r="12" customFormat="false" ht="23.85" hidden="false" customHeight="false" outlineLevel="0" collapsed="false">
      <c r="A12" s="6" t="s">
        <v>199</v>
      </c>
      <c r="B12" s="6" t="s">
        <v>200</v>
      </c>
      <c r="C12" s="6" t="s">
        <v>201</v>
      </c>
      <c r="D12" s="6" t="s">
        <v>202</v>
      </c>
      <c r="E12" s="6" t="s">
        <v>203</v>
      </c>
      <c r="F12" s="20"/>
      <c r="G12" s="20"/>
    </row>
    <row r="13" customFormat="false" ht="23.85" hidden="false" customHeight="false" outlineLevel="0" collapsed="false">
      <c r="A13" s="6" t="s">
        <v>204</v>
      </c>
      <c r="B13" s="6" t="s">
        <v>185</v>
      </c>
      <c r="C13" s="6" t="s">
        <v>205</v>
      </c>
      <c r="D13" s="6" t="s">
        <v>206</v>
      </c>
      <c r="E13" s="6" t="s">
        <v>207</v>
      </c>
      <c r="F13" s="20"/>
      <c r="G13" s="20"/>
    </row>
    <row r="14" customFormat="false" ht="15" hidden="false" customHeight="false" outlineLevel="0" collapsed="false">
      <c r="A14" s="6" t="s">
        <v>208</v>
      </c>
      <c r="B14" s="6" t="s">
        <v>160</v>
      </c>
      <c r="C14" s="6" t="s">
        <v>209</v>
      </c>
      <c r="D14" s="6" t="s">
        <v>210</v>
      </c>
      <c r="E14" s="6" t="s">
        <v>211</v>
      </c>
      <c r="F14" s="20"/>
      <c r="G14" s="20"/>
    </row>
    <row r="15" customFormat="false" ht="15" hidden="false" customHeight="false" outlineLevel="0" collapsed="false">
      <c r="A15" s="6" t="s">
        <v>212</v>
      </c>
      <c r="B15" s="6" t="s">
        <v>213</v>
      </c>
      <c r="C15" s="6" t="s">
        <v>214</v>
      </c>
      <c r="D15" s="6" t="s">
        <v>215</v>
      </c>
      <c r="E15" s="6" t="s">
        <v>216</v>
      </c>
      <c r="F15" s="20"/>
      <c r="G15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19"/>
      <c r="B3" s="19" t="s">
        <v>218</v>
      </c>
      <c r="C3" s="19" t="s">
        <v>219</v>
      </c>
      <c r="D3" s="19" t="s">
        <v>220</v>
      </c>
    </row>
    <row r="4" customFormat="false" ht="15" hidden="false" customHeight="false" outlineLevel="0" collapsed="false">
      <c r="A4" s="21" t="s">
        <v>221</v>
      </c>
      <c r="B4" s="6" t="s">
        <v>222</v>
      </c>
      <c r="C4" s="6" t="s">
        <v>223</v>
      </c>
      <c r="D4" s="6" t="s">
        <v>224</v>
      </c>
    </row>
    <row r="5" customFormat="false" ht="15" hidden="false" customHeight="false" outlineLevel="0" collapsed="false">
      <c r="A5" s="21" t="s">
        <v>225</v>
      </c>
      <c r="B5" s="6" t="s">
        <v>226</v>
      </c>
      <c r="C5" s="6" t="s">
        <v>227</v>
      </c>
      <c r="D5" s="6" t="s">
        <v>228</v>
      </c>
    </row>
    <row r="6" customFormat="false" ht="15" hidden="false" customHeight="false" outlineLevel="0" collapsed="false">
      <c r="A6" s="21" t="s">
        <v>229</v>
      </c>
      <c r="B6" s="6" t="s">
        <v>230</v>
      </c>
      <c r="C6" s="6" t="s">
        <v>231</v>
      </c>
      <c r="D6" s="6" t="s">
        <v>232</v>
      </c>
    </row>
    <row r="7" customFormat="false" ht="23.85" hidden="false" customHeight="false" outlineLevel="0" collapsed="false">
      <c r="A7" s="21" t="s">
        <v>233</v>
      </c>
      <c r="B7" s="6" t="s">
        <v>234</v>
      </c>
      <c r="C7" s="6" t="s">
        <v>235</v>
      </c>
      <c r="D7" s="6" t="s">
        <v>236</v>
      </c>
    </row>
    <row r="8" customFormat="false" ht="15" hidden="false" customHeight="false" outlineLevel="0" collapsed="false">
      <c r="A8" s="21" t="s">
        <v>237</v>
      </c>
      <c r="B8" s="6" t="s">
        <v>238</v>
      </c>
      <c r="C8" s="6" t="s">
        <v>239</v>
      </c>
      <c r="D8" s="6" t="s">
        <v>240</v>
      </c>
    </row>
    <row r="9" customFormat="false" ht="15" hidden="false" customHeight="false" outlineLevel="0" collapsed="false">
      <c r="A9" s="21" t="s">
        <v>241</v>
      </c>
      <c r="B9" s="6" t="s">
        <v>242</v>
      </c>
      <c r="C9" s="6" t="s">
        <v>243</v>
      </c>
      <c r="D9" s="6" t="s">
        <v>244</v>
      </c>
    </row>
    <row r="10" customFormat="false" ht="15" hidden="false" customHeight="false" outlineLevel="0" collapsed="false">
      <c r="A10" s="21" t="s">
        <v>245</v>
      </c>
      <c r="B10" s="6" t="s">
        <v>246</v>
      </c>
      <c r="C10" s="6" t="s">
        <v>247</v>
      </c>
      <c r="D10" s="6" t="s">
        <v>248</v>
      </c>
    </row>
    <row r="11" customFormat="false" ht="15" hidden="false" customHeight="false" outlineLevel="0" collapsed="false">
      <c r="A11" s="21" t="s">
        <v>249</v>
      </c>
      <c r="B11" s="6" t="s">
        <v>250</v>
      </c>
      <c r="C11" s="6" t="s">
        <v>251</v>
      </c>
      <c r="D11" s="6" t="s">
        <v>252</v>
      </c>
    </row>
    <row r="12" customFormat="false" ht="15" hidden="false" customHeight="false" outlineLevel="0" collapsed="false">
      <c r="A12" s="21" t="s">
        <v>253</v>
      </c>
      <c r="B12" s="6" t="s">
        <v>254</v>
      </c>
      <c r="C12" s="6" t="s">
        <v>255</v>
      </c>
      <c r="D12" s="6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2026-09-25T13:40:17Z</dcterms:created>
  <dc:creator>openpyxl</dc:creator>
  <dc:description/>
  <dc:language>en-US</dc:language>
  <cp:lastModifiedBy/>
  <dcterms:modified xsi:type="dcterms:W3CDTF">2026-09-25T13:40:17Z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